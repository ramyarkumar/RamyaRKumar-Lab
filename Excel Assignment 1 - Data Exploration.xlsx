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MYA\Desktop\DA\"/>
    </mc:Choice>
  </mc:AlternateContent>
  <xr:revisionPtr revIDLastSave="0" documentId="8_{618ABE42-A863-43B5-8896-2AF19A01CE6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set" sheetId="1" r:id="rId1"/>
    <sheet name="Assignment Week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2" i="2" l="1"/>
  <c r="I2" i="2"/>
  <c r="I3" i="2"/>
  <c r="H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G2" i="2"/>
  <c r="N21" i="2"/>
  <c r="N20" i="2"/>
  <c r="N16" i="2"/>
  <c r="N15" i="2"/>
  <c r="N12" i="2"/>
  <c r="N11" i="2"/>
  <c r="N10" i="2"/>
  <c r="N13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</calcChain>
</file>

<file path=xl/sharedStrings.xml><?xml version="1.0" encoding="utf-8"?>
<sst xmlns="http://schemas.openxmlformats.org/spreadsheetml/2006/main" count="319" uniqueCount="128">
  <si>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</si>
  <si>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</si>
  <si>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</si>
  <si>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</si>
  <si>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</si>
  <si>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</si>
  <si>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</si>
  <si>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</si>
  <si>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</si>
  <si>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</si>
  <si>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</si>
  <si>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</si>
  <si>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</si>
  <si>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</si>
  <si>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</si>
  <si>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</si>
  <si>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</si>
  <si>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</si>
  <si>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</si>
  <si>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</si>
  <si>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</si>
  <si>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</si>
  <si>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</si>
  <si>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</si>
  <si>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</si>
  <si>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</si>
  <si>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</si>
  <si>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</si>
  <si>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</si>
  <si>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</si>
  <si>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</si>
  <si>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</si>
  <si>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</si>
  <si>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</si>
  <si>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</si>
  <si>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</si>
  <si>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</si>
  <si>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</si>
  <si>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</si>
  <si>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</si>
  <si>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</si>
  <si>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</si>
  <si>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</si>
  <si>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</si>
  <si>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</si>
  <si>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</si>
  <si>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</si>
  <si>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</si>
  <si>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</si>
  <si>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</si>
  <si>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</si>
  <si>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</si>
  <si>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</si>
  <si>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</si>
  <si>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</si>
  <si>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</si>
  <si>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</si>
  <si>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</si>
  <si>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</si>
  <si>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</si>
  <si>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</si>
  <si>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</si>
  <si>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</si>
  <si>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</si>
  <si>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</si>
  <si>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</si>
  <si>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</si>
  <si>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</si>
  <si>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</si>
  <si>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</si>
  <si>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</si>
  <si>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</si>
  <si>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</si>
  <si>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</si>
  <si>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</si>
  <si>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</si>
  <si>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</si>
  <si>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</si>
  <si>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</si>
  <si>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</si>
  <si>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</si>
  <si>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</si>
  <si>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</si>
  <si>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</si>
  <si>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</si>
  <si>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</si>
  <si>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</si>
  <si>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</si>
  <si>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</si>
  <si>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</si>
  <si>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</si>
  <si>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</si>
  <si>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</si>
  <si>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of all products</t>
  </si>
  <si>
    <t xml:space="preserve">No of Products </t>
  </si>
  <si>
    <t xml:space="preserve">Average Price of the product </t>
  </si>
  <si>
    <t xml:space="preserve">Manual Division </t>
  </si>
  <si>
    <t>Minimum Price</t>
  </si>
  <si>
    <t xml:space="preserve">Maximum Price </t>
  </si>
  <si>
    <t>Price Range.</t>
  </si>
  <si>
    <t>Sum IF (Electronic Category)</t>
  </si>
  <si>
    <t>CountIF (Price less than 100)</t>
  </si>
  <si>
    <t>DAY</t>
  </si>
  <si>
    <t xml:space="preserve">Country Code </t>
  </si>
  <si>
    <t xml:space="preserve">Month </t>
  </si>
  <si>
    <t>Task No</t>
  </si>
  <si>
    <t xml:space="preserve">Logical Function IF </t>
  </si>
  <si>
    <t>Column G</t>
  </si>
  <si>
    <t>Text Formatting – LEFT, RIGHT, MID</t>
  </si>
  <si>
    <t>(=SUM(Table1[Price ($)])</t>
  </si>
  <si>
    <t>(=COUNTA(Table1[Brand Name])</t>
  </si>
  <si>
    <t>(=AVERAGE(Table1[Price ($)])</t>
  </si>
  <si>
    <t>(=N10/N11</t>
  </si>
  <si>
    <t>(=MIN(Table1[Price ($)])</t>
  </si>
  <si>
    <t>(=MAX(Table1[Price ($)])</t>
  </si>
  <si>
    <t>(=SUMIF(Table1[Category],"Electronics",Table1[Price ($)])</t>
  </si>
  <si>
    <t>(=COUNTIF(Table1[Price ($)],"&lt;100")</t>
  </si>
  <si>
    <t>(=IF([@[Price ($)]]&gt;=500,"High Price","Standard Price")</t>
  </si>
  <si>
    <t>(=LEFT([@[Product ID]],2)</t>
  </si>
  <si>
    <t>(=RIGHT([@[Product ID]],2)</t>
  </si>
  <si>
    <t>=MID([@[Product ID]],4,3)</t>
  </si>
  <si>
    <t>Column H</t>
  </si>
  <si>
    <t>Column I</t>
  </si>
  <si>
    <t>Column J</t>
  </si>
  <si>
    <t>Task</t>
  </si>
  <si>
    <t xml:space="preserve">Result </t>
  </si>
  <si>
    <t xml:space="preserve">Formula Used </t>
  </si>
  <si>
    <t xml:space="preserve">Assignment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</si>
</sst>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;[Red][$$-409]#,##0"/>
    <numFmt numFmtId="165" formatCode="[$$-409]#,##0.00;[Red][$$-409]#,##0.00"/>
    <numFmt numFmtId="167" formatCode="[$$-409]#,##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</font>
    <font>
      <sz val="10"/>
      <color theme="4" tint="-0.249977111117893"/>
      <name val="Arial"/>
      <family val="2"/>
      <scheme val="minor"/>
    </font>
    <font>
      <sz val="36"/>
      <color theme="4" tint="-0.24997711111789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164" fontId="0" fillId="0" borderId="0" xfId="0" applyNumberFormat="1"/>
    <xf numFmtId="0" fontId="4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3" borderId="5" xfId="0" applyFon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0" fillId="0" borderId="1" xfId="0" applyBorder="1"/>
    <xf numFmtId="0" fontId="0" fillId="0" borderId="8" xfId="0" applyBorder="1"/>
    <xf numFmtId="0" fontId="0" fillId="0" borderId="7" xfId="0" applyBorder="1"/>
    <xf numFmtId="0" fontId="6" fillId="0" borderId="1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4" fillId="0" borderId="6" xfId="0" applyFont="1" applyBorder="1"/>
    <xf numFmtId="0" fontId="6" fillId="0" borderId="6" xfId="0" applyFont="1" applyBorder="1"/>
    <xf numFmtId="0" fontId="0" fillId="0" borderId="6" xfId="0" applyBorder="1"/>
    <xf numFmtId="2" fontId="4" fillId="0" borderId="6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$-409]#,##0;[Red][$$-409]#,##0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[$$-409]#,##0;[Red][$$-409]#,##0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$-409]#,##0;[Red][$$-409]#,##0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89E1A-FB91-449E-9B2A-F2059D2C8E77}" name="Table1" displayName="Table1" ref="A1:J35" totalsRowShown="0" headerRowDxfId="22" dataDxfId="32" totalsRowDxfId="21" headerRowBorderDxfId="30" tableBorderDxfId="31" totalsRowBorderDxfId="29">
  <autoFilter ref="A1:J35" xr:uid="{40489E1A-FB91-449E-9B2A-F2059D2C8E77}"/>
  <tableColumns count="10">
    <tableColumn id="1" xr3:uid="{7E6C6427-9FEE-4513-9A07-C2BFCB8BE9D0}" name="Product ID" dataDxfId="28" totalsRowDxfId="20"/>
    <tableColumn id="2" xr3:uid="{66704AB7-FC94-4453-A437-6DA7D66EDB0B}" name="Product Name" dataDxfId="27" totalsRowDxfId="19"/>
    <tableColumn id="3" xr3:uid="{7BDD37B1-A306-46CB-AAF6-D114AAC1A836}" name="Brand Name" dataDxfId="26" totalsRowDxfId="18"/>
    <tableColumn id="4" xr3:uid="{1F5C6950-B384-4032-9C81-CFEE19872743}" name="Price ($)" dataDxfId="25" totalsRowDxfId="17"/>
    <tableColumn id="5" xr3:uid="{E4BF2472-45C9-4E60-A83B-DEB91F8954DD}" name="Quantity" dataDxfId="24" totalsRowDxfId="16"/>
    <tableColumn id="6" xr3:uid="{C9F57A1E-EC7D-4A6E-8119-496AA095A44F}" name="Category" dataDxfId="23" totalsRowDxfId="15"/>
    <tableColumn id="7" xr3:uid="{2D9BEB7F-B1BE-42A7-B73D-8EE09270D16D}" name="Price Range." dataDxfId="7" totalsRowDxfId="3">
      <calculatedColumnFormula>IF(Table1[[#This Row],[Price ($)]]&gt;=500,"High Price","Standard Price")</calculatedColumnFormula>
    </tableColumn>
    <tableColumn id="8" xr3:uid="{E13CD056-E76C-4AD3-AB87-9EB5097367B9}" name="DAY" dataDxfId="6" totalsRowDxfId="2">
      <calculatedColumnFormula>LEFT(Table1[[#This Row],[Product ID]],2)</calculatedColumnFormula>
    </tableColumn>
    <tableColumn id="9" xr3:uid="{86CE4C51-7346-46B8-BA4D-FB7589EB8646}" name="Country Code " dataDxfId="5" totalsRowDxfId="1">
      <calculatedColumnFormula>RIGHT(Table1[[#This Row],[Product ID]],2)</calculatedColumnFormula>
    </tableColumn>
    <tableColumn id="10" xr3:uid="{960BD322-4A2B-4C2A-B0D3-CADD1DB2D0A4}" name="Month " dataDxfId="4" totalsRowDxfId="0">
      <calculatedColumnFormula>MID(Table1[[#This Row],[Product ID]],4,3)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EF5D74-E8B4-46BA-9D99-49C7C467C9E8}" name="Table2" displayName="Table2" ref="L9:O25" totalsRowShown="0" headerRowDxfId="8" headerRowBorderDxfId="13" tableBorderDxfId="14" totalsRowBorderDxfId="12">
  <autoFilter ref="L9:O25" xr:uid="{03EF5D74-E8B4-46BA-9D99-49C7C467C9E8}"/>
  <tableColumns count="4">
    <tableColumn id="1" xr3:uid="{8862ED50-68BF-4766-B4D9-6C37228D95C4}" name="Task No" dataDxfId="11"/>
    <tableColumn id="2" xr3:uid="{5A758E18-39C2-42E3-9EAF-EE0479319ACE}" name="Task" dataDxfId="10"/>
    <tableColumn id="3" xr3:uid="{38DCD2EF-B5CD-435A-81B6-B52373754A1E}" name="Result " dataDxfId="9"/>
    <tableColumn id="4" xr3:uid="{71716A3D-5D98-4E4C-9E72-447C312609F8}" name="Formula Used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zoomScale="70" workbookViewId="0">
      <selection activeCell="D2" sqref="D2:D35"/>
    </sheetView>
  </sheetViews>
  <sheetFormatPr defaultColWidth="12.6328125" defaultRowHeight="15" customHeight="1" x14ac:dyDescent="0.25"/>
  <cols>
    <col min="2" max="2" width="14.08984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4168-E0D6-45D2-BDF0-630243FE8EAD}">
  <dimension ref="A1:O999"/>
  <sheetViews>
    <sheetView tabSelected="1" zoomScale="66" zoomScaleNormal="60" workbookViewId="0">
      <selection activeCell="L35" sqref="L35"/>
    </sheetView>
  </sheetViews>
  <sheetFormatPr defaultColWidth="12.6328125" defaultRowHeight="12.5" x14ac:dyDescent="0.25"/>
  <cols>
    <col min="2" max="2" width="15" customWidth="1"/>
    <col min="3" max="3" width="13.36328125" customWidth="1"/>
    <col min="4" max="4" width="12.6328125" style="6"/>
    <col min="5" max="5" width="12.7265625" bestFit="1" customWidth="1"/>
    <col min="6" max="6" width="13.1796875" bestFit="1" customWidth="1"/>
    <col min="7" max="7" width="22.90625" customWidth="1"/>
    <col min="8" max="8" width="11.36328125" bestFit="1" customWidth="1"/>
    <col min="13" max="13" width="37.6328125" bestFit="1" customWidth="1"/>
    <col min="14" max="14" width="19.08984375" customWidth="1"/>
    <col min="15" max="15" width="48.6328125" bestFit="1" customWidth="1"/>
  </cols>
  <sheetData>
    <row r="1" spans="1:15" ht="15.75" customHeight="1" x14ac:dyDescent="0.3">
      <c r="A1" s="8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11" t="s">
        <v>99</v>
      </c>
      <c r="H1" s="11" t="s">
        <v>102</v>
      </c>
      <c r="I1" s="11" t="s">
        <v>103</v>
      </c>
      <c r="J1" s="12" t="s">
        <v>104</v>
      </c>
    </row>
    <row r="2" spans="1:15" ht="15.75" customHeight="1" x14ac:dyDescent="0.25">
      <c r="A2" s="13" t="s">
        <v>6</v>
      </c>
      <c r="B2" s="14" t="s">
        <v>7</v>
      </c>
      <c r="C2" s="14" t="s">
        <v>8</v>
      </c>
      <c r="D2" s="15">
        <v>1000</v>
      </c>
      <c r="E2" s="14">
        <v>30</v>
      </c>
      <c r="F2" s="14" t="s">
        <v>9</v>
      </c>
      <c r="G2" s="14" t="str">
        <f>IF(Table1[[#This Row],[Price ($)]]&gt;=500,"High Price","Standard Price")</f>
        <v>High Price</v>
      </c>
      <c r="H2" s="14" t="str">
        <f>LEFT(Table1[[#This Row],[Product ID]],2)</f>
        <v>28</v>
      </c>
      <c r="I2" s="14" t="str">
        <f>RIGHT(Table1[[#This Row],[Product ID]],2)</f>
        <v>US</v>
      </c>
      <c r="J2" s="14" t="str">
        <f>MID(Table1[[#This Row],[Product ID]],4,3)</f>
        <v>JAN</v>
      </c>
    </row>
    <row r="3" spans="1:15" ht="15.75" customHeight="1" x14ac:dyDescent="0.25">
      <c r="A3" s="16" t="s">
        <v>10</v>
      </c>
      <c r="B3" s="17" t="s">
        <v>11</v>
      </c>
      <c r="C3" s="17" t="s">
        <v>12</v>
      </c>
      <c r="D3" s="18">
        <v>80</v>
      </c>
      <c r="E3" s="17">
        <v>15</v>
      </c>
      <c r="F3" s="17" t="s">
        <v>13</v>
      </c>
      <c r="G3" s="14" t="str">
        <f>IF(Table1[[#This Row],[Price ($)]]&gt;=500,"High Price","Standard Price")</f>
        <v>Standard Price</v>
      </c>
      <c r="H3" s="14" t="str">
        <f>LEFT(Table1[[#This Row],[Product ID]],2)</f>
        <v>15</v>
      </c>
      <c r="I3" s="14" t="str">
        <f>RIGHT(Table1[[#This Row],[Product ID]],2)</f>
        <v>US</v>
      </c>
      <c r="J3" s="14" t="str">
        <f>MID(Table1[[#This Row],[Product ID]],4,3)</f>
        <v>FEB</v>
      </c>
    </row>
    <row r="4" spans="1:15" ht="15.75" customHeight="1" thickBot="1" x14ac:dyDescent="0.3">
      <c r="A4" s="13" t="s">
        <v>14</v>
      </c>
      <c r="B4" s="14" t="s">
        <v>15</v>
      </c>
      <c r="C4" s="14" t="s">
        <v>16</v>
      </c>
      <c r="D4" s="15">
        <v>130</v>
      </c>
      <c r="E4" s="14">
        <v>40</v>
      </c>
      <c r="F4" s="14" t="s">
        <v>17</v>
      </c>
      <c r="G4" s="14" t="str">
        <f>IF(Table1[[#This Row],[Price ($)]]&gt;=500,"High Price","Standard Price")</f>
        <v>Standard Price</v>
      </c>
      <c r="H4" s="14" t="str">
        <f>LEFT(Table1[[#This Row],[Product ID]],2)</f>
        <v>03</v>
      </c>
      <c r="I4" s="14" t="str">
        <f>RIGHT(Table1[[#This Row],[Product ID]],2)</f>
        <v>US</v>
      </c>
      <c r="J4" s="14" t="str">
        <f>MID(Table1[[#This Row],[Product ID]],4,3)</f>
        <v>MAR</v>
      </c>
    </row>
    <row r="5" spans="1:15" ht="15.75" customHeight="1" x14ac:dyDescent="0.25">
      <c r="A5" s="16" t="s">
        <v>18</v>
      </c>
      <c r="B5" s="17" t="s">
        <v>19</v>
      </c>
      <c r="C5" s="17" t="s">
        <v>20</v>
      </c>
      <c r="D5" s="18">
        <v>900</v>
      </c>
      <c r="E5" s="17">
        <v>25</v>
      </c>
      <c r="F5" s="17" t="s">
        <v>9</v>
      </c>
      <c r="G5" s="14" t="str">
        <f>IF(Table1[[#This Row],[Price ($)]]&gt;=500,"High Price","Standard Price")</f>
        <v>High Price</v>
      </c>
      <c r="H5" s="14" t="str">
        <f>LEFT(Table1[[#This Row],[Product ID]],2)</f>
        <v>11</v>
      </c>
      <c r="I5" s="14" t="str">
        <f>RIGHT(Table1[[#This Row],[Product ID]],2)</f>
        <v>US</v>
      </c>
      <c r="J5" s="14" t="str">
        <f>MID(Table1[[#This Row],[Product ID]],4,3)</f>
        <v>APR</v>
      </c>
      <c r="L5" s="38" t="s">
        <v>127</v>
      </c>
      <c r="M5" s="39"/>
      <c r="N5" s="39"/>
      <c r="O5" s="40"/>
    </row>
    <row r="6" spans="1:15" ht="15.75" customHeight="1" x14ac:dyDescent="0.25">
      <c r="A6" s="13" t="s">
        <v>21</v>
      </c>
      <c r="B6" s="14" t="s">
        <v>22</v>
      </c>
      <c r="C6" s="14" t="s">
        <v>23</v>
      </c>
      <c r="D6" s="15">
        <v>70</v>
      </c>
      <c r="E6" s="14">
        <v>20</v>
      </c>
      <c r="F6" s="14" t="s">
        <v>24</v>
      </c>
      <c r="G6" s="14" t="str">
        <f>IF(Table1[[#This Row],[Price ($)]]&gt;=500,"High Price","Standard Price")</f>
        <v>Standard Price</v>
      </c>
      <c r="H6" s="14" t="str">
        <f>LEFT(Table1[[#This Row],[Product ID]],2)</f>
        <v>22</v>
      </c>
      <c r="I6" s="14" t="str">
        <f>RIGHT(Table1[[#This Row],[Product ID]],2)</f>
        <v>US</v>
      </c>
      <c r="J6" s="14" t="str">
        <f>MID(Table1[[#This Row],[Product ID]],4,3)</f>
        <v>MAY</v>
      </c>
      <c r="L6" s="41"/>
      <c r="M6" s="42"/>
      <c r="N6" s="42"/>
      <c r="O6" s="43"/>
    </row>
    <row r="7" spans="1:15" ht="15.75" customHeight="1" thickBot="1" x14ac:dyDescent="0.3">
      <c r="A7" s="16" t="s">
        <v>25</v>
      </c>
      <c r="B7" s="17" t="s">
        <v>26</v>
      </c>
      <c r="C7" s="17" t="s">
        <v>27</v>
      </c>
      <c r="D7" s="18">
        <v>200</v>
      </c>
      <c r="E7" s="17">
        <v>45</v>
      </c>
      <c r="F7" s="17" t="s">
        <v>9</v>
      </c>
      <c r="G7" s="14" t="str">
        <f>IF(Table1[[#This Row],[Price ($)]]&gt;=500,"High Price","Standard Price")</f>
        <v>Standard Price</v>
      </c>
      <c r="H7" s="14" t="str">
        <f>LEFT(Table1[[#This Row],[Product ID]],2)</f>
        <v>07</v>
      </c>
      <c r="I7" s="14" t="str">
        <f>RIGHT(Table1[[#This Row],[Product ID]],2)</f>
        <v>UK</v>
      </c>
      <c r="J7" s="14" t="str">
        <f>MID(Table1[[#This Row],[Product ID]],4,3)</f>
        <v>JUN</v>
      </c>
      <c r="L7" s="44"/>
      <c r="M7" s="45"/>
      <c r="N7" s="45"/>
      <c r="O7" s="46"/>
    </row>
    <row r="8" spans="1:15" ht="15.75" customHeight="1" x14ac:dyDescent="0.25">
      <c r="A8" s="13" t="s">
        <v>28</v>
      </c>
      <c r="B8" s="14" t="s">
        <v>29</v>
      </c>
      <c r="C8" s="14" t="s">
        <v>30</v>
      </c>
      <c r="D8" s="15">
        <v>30</v>
      </c>
      <c r="E8" s="14">
        <v>5</v>
      </c>
      <c r="F8" s="14" t="s">
        <v>13</v>
      </c>
      <c r="G8" s="14" t="str">
        <f>IF(Table1[[#This Row],[Price ($)]]&gt;=500,"High Price","Standard Price")</f>
        <v>Standard Price</v>
      </c>
      <c r="H8" s="14" t="str">
        <f>LEFT(Table1[[#This Row],[Product ID]],2)</f>
        <v>19</v>
      </c>
      <c r="I8" s="14" t="str">
        <f>RIGHT(Table1[[#This Row],[Product ID]],2)</f>
        <v>UK</v>
      </c>
      <c r="J8" s="14" t="str">
        <f>MID(Table1[[#This Row],[Product ID]],4,3)</f>
        <v>JUL</v>
      </c>
    </row>
    <row r="9" spans="1:15" ht="15.75" customHeight="1" x14ac:dyDescent="0.25">
      <c r="A9" s="16" t="s">
        <v>31</v>
      </c>
      <c r="B9" s="17" t="s">
        <v>32</v>
      </c>
      <c r="C9" s="17" t="s">
        <v>33</v>
      </c>
      <c r="D9" s="18">
        <v>90</v>
      </c>
      <c r="E9" s="17">
        <v>35</v>
      </c>
      <c r="F9" s="17" t="s">
        <v>17</v>
      </c>
      <c r="G9" s="14" t="str">
        <f>IF(Table1[[#This Row],[Price ($)]]&gt;=500,"High Price","Standard Price")</f>
        <v>Standard Price</v>
      </c>
      <c r="H9" s="14" t="str">
        <f>LEFT(Table1[[#This Row],[Product ID]],2)</f>
        <v>23</v>
      </c>
      <c r="I9" s="14" t="str">
        <f>RIGHT(Table1[[#This Row],[Product ID]],2)</f>
        <v>UK</v>
      </c>
      <c r="J9" s="14" t="str">
        <f>MID(Table1[[#This Row],[Product ID]],4,3)</f>
        <v>AUG</v>
      </c>
      <c r="L9" s="29" t="s">
        <v>105</v>
      </c>
      <c r="M9" s="30" t="s">
        <v>124</v>
      </c>
      <c r="N9" s="30" t="s">
        <v>125</v>
      </c>
      <c r="O9" s="31" t="s">
        <v>126</v>
      </c>
    </row>
    <row r="10" spans="1:15" ht="15.75" customHeight="1" x14ac:dyDescent="0.35">
      <c r="A10" s="13" t="s">
        <v>34</v>
      </c>
      <c r="B10" s="14" t="s">
        <v>35</v>
      </c>
      <c r="C10" s="14" t="s">
        <v>36</v>
      </c>
      <c r="D10" s="15">
        <v>500</v>
      </c>
      <c r="E10" s="14">
        <v>50</v>
      </c>
      <c r="F10" s="14" t="s">
        <v>9</v>
      </c>
      <c r="G10" s="14" t="str">
        <f>IF(Table1[[#This Row],[Price ($)]]&gt;=500,"High Price","Standard Price")</f>
        <v>High Price</v>
      </c>
      <c r="H10" s="14" t="str">
        <f>LEFT(Table1[[#This Row],[Product ID]],2)</f>
        <v>05</v>
      </c>
      <c r="I10" s="14" t="str">
        <f>RIGHT(Table1[[#This Row],[Product ID]],2)</f>
        <v>UK</v>
      </c>
      <c r="J10" s="14" t="str">
        <f>MID(Table1[[#This Row],[Product ID]],4,3)</f>
        <v>SEP</v>
      </c>
      <c r="L10" s="23">
        <v>1</v>
      </c>
      <c r="M10" s="22" t="s">
        <v>93</v>
      </c>
      <c r="N10" s="32">
        <f>SUM(Table1[Price ($)])</f>
        <v>10100</v>
      </c>
      <c r="O10" s="25" t="s">
        <v>109</v>
      </c>
    </row>
    <row r="11" spans="1:15" ht="15.75" customHeight="1" x14ac:dyDescent="0.35">
      <c r="A11" s="16" t="s">
        <v>37</v>
      </c>
      <c r="B11" s="17" t="s">
        <v>38</v>
      </c>
      <c r="C11" s="17" t="s">
        <v>39</v>
      </c>
      <c r="D11" s="18">
        <v>130</v>
      </c>
      <c r="E11" s="17">
        <v>10</v>
      </c>
      <c r="F11" s="17" t="s">
        <v>24</v>
      </c>
      <c r="G11" s="14" t="str">
        <f>IF(Table1[[#This Row],[Price ($)]]&gt;=500,"High Price","Standard Price")</f>
        <v>Standard Price</v>
      </c>
      <c r="H11" s="14" t="str">
        <f>LEFT(Table1[[#This Row],[Product ID]],2)</f>
        <v>14</v>
      </c>
      <c r="I11" s="14" t="str">
        <f>RIGHT(Table1[[#This Row],[Product ID]],2)</f>
        <v>UK</v>
      </c>
      <c r="J11" s="14" t="str">
        <f>MID(Table1[[#This Row],[Product ID]],4,3)</f>
        <v>OCT</v>
      </c>
      <c r="L11" s="23"/>
      <c r="M11" s="22" t="s">
        <v>94</v>
      </c>
      <c r="N11" s="33">
        <f>COUNTA(Table1[Brand Name])</f>
        <v>34</v>
      </c>
      <c r="O11" s="25" t="s">
        <v>110</v>
      </c>
    </row>
    <row r="12" spans="1:15" ht="15.75" customHeight="1" x14ac:dyDescent="0.35">
      <c r="A12" s="13" t="s">
        <v>40</v>
      </c>
      <c r="B12" s="14" t="s">
        <v>7</v>
      </c>
      <c r="C12" s="14" t="s">
        <v>41</v>
      </c>
      <c r="D12" s="15">
        <v>950</v>
      </c>
      <c r="E12" s="14">
        <v>25</v>
      </c>
      <c r="F12" s="14" t="s">
        <v>9</v>
      </c>
      <c r="G12" s="14" t="str">
        <f>IF(Table1[[#This Row],[Price ($)]]&gt;=500,"High Price","Standard Price")</f>
        <v>High Price</v>
      </c>
      <c r="H12" s="14" t="str">
        <f>LEFT(Table1[[#This Row],[Product ID]],2)</f>
        <v>17</v>
      </c>
      <c r="I12" s="14" t="str">
        <f>RIGHT(Table1[[#This Row],[Product ID]],2)</f>
        <v>IN</v>
      </c>
      <c r="J12" s="14" t="str">
        <f>MID(Table1[[#This Row],[Product ID]],4,3)</f>
        <v>JUN</v>
      </c>
      <c r="L12" s="23"/>
      <c r="M12" s="22" t="s">
        <v>95</v>
      </c>
      <c r="N12" s="32">
        <f>AVERAGE(Table1[Price ($)])</f>
        <v>297.05882352941177</v>
      </c>
      <c r="O12" s="25" t="s">
        <v>111</v>
      </c>
    </row>
    <row r="13" spans="1:15" ht="15.75" customHeight="1" x14ac:dyDescent="0.35">
      <c r="A13" s="16" t="s">
        <v>42</v>
      </c>
      <c r="B13" s="17" t="s">
        <v>11</v>
      </c>
      <c r="C13" s="17" t="s">
        <v>30</v>
      </c>
      <c r="D13" s="18">
        <v>90</v>
      </c>
      <c r="E13" s="17">
        <v>40</v>
      </c>
      <c r="F13" s="17" t="s">
        <v>13</v>
      </c>
      <c r="G13" s="14" t="str">
        <f>IF(Table1[[#This Row],[Price ($)]]&gt;=500,"High Price","Standard Price")</f>
        <v>Standard Price</v>
      </c>
      <c r="H13" s="14" t="str">
        <f>LEFT(Table1[[#This Row],[Product ID]],2)</f>
        <v>25</v>
      </c>
      <c r="I13" s="14" t="str">
        <f>RIGHT(Table1[[#This Row],[Product ID]],2)</f>
        <v>AU</v>
      </c>
      <c r="J13" s="14" t="str">
        <f>MID(Table1[[#This Row],[Product ID]],4,3)</f>
        <v>NOV</v>
      </c>
      <c r="L13" s="23"/>
      <c r="M13" s="22" t="s">
        <v>96</v>
      </c>
      <c r="N13" s="34">
        <f>N10/N11</f>
        <v>297.05882352941177</v>
      </c>
      <c r="O13" s="25" t="s">
        <v>112</v>
      </c>
    </row>
    <row r="14" spans="1:15" ht="15.75" customHeight="1" x14ac:dyDescent="0.35">
      <c r="A14" s="13" t="s">
        <v>43</v>
      </c>
      <c r="B14" s="14" t="s">
        <v>15</v>
      </c>
      <c r="C14" s="14" t="s">
        <v>44</v>
      </c>
      <c r="D14" s="15">
        <v>120</v>
      </c>
      <c r="E14" s="14">
        <v>35</v>
      </c>
      <c r="F14" s="14" t="s">
        <v>17</v>
      </c>
      <c r="G14" s="14" t="str">
        <f>IF(Table1[[#This Row],[Price ($)]]&gt;=500,"High Price","Standard Price")</f>
        <v>Standard Price</v>
      </c>
      <c r="H14" s="14" t="str">
        <f>LEFT(Table1[[#This Row],[Product ID]],2)</f>
        <v>08</v>
      </c>
      <c r="I14" s="14" t="str">
        <f>RIGHT(Table1[[#This Row],[Product ID]],2)</f>
        <v>DE</v>
      </c>
      <c r="J14" s="14" t="str">
        <f>MID(Table1[[#This Row],[Product ID]],4,3)</f>
        <v>DEC</v>
      </c>
      <c r="L14" s="24"/>
      <c r="M14" s="19"/>
      <c r="N14" s="35"/>
      <c r="O14" s="26"/>
    </row>
    <row r="15" spans="1:15" ht="15.75" customHeight="1" x14ac:dyDescent="0.35">
      <c r="A15" s="16" t="s">
        <v>45</v>
      </c>
      <c r="B15" s="17" t="s">
        <v>46</v>
      </c>
      <c r="C15" s="17" t="s">
        <v>47</v>
      </c>
      <c r="D15" s="18">
        <v>150</v>
      </c>
      <c r="E15" s="17">
        <v>15</v>
      </c>
      <c r="F15" s="17" t="s">
        <v>9</v>
      </c>
      <c r="G15" s="14" t="str">
        <f>IF(Table1[[#This Row],[Price ($)]]&gt;=500,"High Price","Standard Price")</f>
        <v>Standard Price</v>
      </c>
      <c r="H15" s="14" t="str">
        <f>LEFT(Table1[[#This Row],[Product ID]],2)</f>
        <v>18</v>
      </c>
      <c r="I15" s="14" t="str">
        <f>RIGHT(Table1[[#This Row],[Product ID]],2)</f>
        <v>CA</v>
      </c>
      <c r="J15" s="14" t="str">
        <f>MID(Table1[[#This Row],[Product ID]],4,3)</f>
        <v>FEB</v>
      </c>
      <c r="L15" s="23">
        <v>2</v>
      </c>
      <c r="M15" s="22" t="s">
        <v>97</v>
      </c>
      <c r="N15" s="36">
        <f>MIN(Table1[Price ($)])</f>
        <v>30</v>
      </c>
      <c r="O15" s="25" t="s">
        <v>113</v>
      </c>
    </row>
    <row r="16" spans="1:15" ht="15.75" customHeight="1" x14ac:dyDescent="0.35">
      <c r="A16" s="13" t="s">
        <v>48</v>
      </c>
      <c r="B16" s="14" t="s">
        <v>26</v>
      </c>
      <c r="C16" s="14" t="s">
        <v>49</v>
      </c>
      <c r="D16" s="15">
        <v>250</v>
      </c>
      <c r="E16" s="14">
        <v>20</v>
      </c>
      <c r="F16" s="14" t="s">
        <v>9</v>
      </c>
      <c r="G16" s="14" t="str">
        <f>IF(Table1[[#This Row],[Price ($)]]&gt;=500,"High Price","Standard Price")</f>
        <v>Standard Price</v>
      </c>
      <c r="H16" s="14" t="str">
        <f>LEFT(Table1[[#This Row],[Product ID]],2)</f>
        <v>16</v>
      </c>
      <c r="I16" s="14" t="str">
        <f>RIGHT(Table1[[#This Row],[Product ID]],2)</f>
        <v>ES</v>
      </c>
      <c r="J16" s="14" t="str">
        <f>MID(Table1[[#This Row],[Product ID]],4,3)</f>
        <v>APR</v>
      </c>
      <c r="L16" s="23"/>
      <c r="M16" s="22" t="s">
        <v>98</v>
      </c>
      <c r="N16" s="36">
        <f>MAX(Table1[Price ($)])</f>
        <v>1000</v>
      </c>
      <c r="O16" s="25" t="s">
        <v>114</v>
      </c>
    </row>
    <row r="17" spans="1:15" ht="15.75" customHeight="1" x14ac:dyDescent="0.35">
      <c r="A17" s="16" t="s">
        <v>50</v>
      </c>
      <c r="B17" s="17" t="s">
        <v>51</v>
      </c>
      <c r="C17" s="17" t="s">
        <v>52</v>
      </c>
      <c r="D17" s="18">
        <v>50</v>
      </c>
      <c r="E17" s="17">
        <v>35</v>
      </c>
      <c r="F17" s="17" t="s">
        <v>53</v>
      </c>
      <c r="G17" s="14" t="str">
        <f>IF(Table1[[#This Row],[Price ($)]]&gt;=500,"High Price","Standard Price")</f>
        <v>Standard Price</v>
      </c>
      <c r="H17" s="14" t="str">
        <f>LEFT(Table1[[#This Row],[Product ID]],2)</f>
        <v>21</v>
      </c>
      <c r="I17" s="14" t="str">
        <f>RIGHT(Table1[[#This Row],[Product ID]],2)</f>
        <v>CA</v>
      </c>
      <c r="J17" s="14" t="str">
        <f>MID(Table1[[#This Row],[Product ID]],4,3)</f>
        <v>AUG</v>
      </c>
      <c r="L17" s="24"/>
      <c r="M17" s="22"/>
      <c r="N17" s="35"/>
      <c r="O17" s="27"/>
    </row>
    <row r="18" spans="1:15" ht="15.75" customHeight="1" x14ac:dyDescent="0.35">
      <c r="A18" s="13" t="s">
        <v>54</v>
      </c>
      <c r="B18" s="14" t="s">
        <v>46</v>
      </c>
      <c r="C18" s="14" t="s">
        <v>55</v>
      </c>
      <c r="D18" s="15">
        <v>160</v>
      </c>
      <c r="E18" s="14">
        <v>15</v>
      </c>
      <c r="F18" s="14" t="s">
        <v>9</v>
      </c>
      <c r="G18" s="14" t="str">
        <f>IF(Table1[[#This Row],[Price ($)]]&gt;=500,"High Price","Standard Price")</f>
        <v>Standard Price</v>
      </c>
      <c r="H18" s="14" t="str">
        <f>LEFT(Table1[[#This Row],[Product ID]],2)</f>
        <v>20</v>
      </c>
      <c r="I18" s="14" t="str">
        <f>RIGHT(Table1[[#This Row],[Product ID]],2)</f>
        <v>CN</v>
      </c>
      <c r="J18" s="14" t="str">
        <f>MID(Table1[[#This Row],[Product ID]],4,3)</f>
        <v>AUG</v>
      </c>
      <c r="L18" s="23">
        <v>3</v>
      </c>
      <c r="M18" s="22" t="s">
        <v>106</v>
      </c>
      <c r="N18" s="32" t="s">
        <v>107</v>
      </c>
      <c r="O18" s="25" t="s">
        <v>117</v>
      </c>
    </row>
    <row r="19" spans="1:15" ht="15.75" customHeight="1" x14ac:dyDescent="0.25">
      <c r="A19" s="16" t="s">
        <v>56</v>
      </c>
      <c r="B19" s="17" t="s">
        <v>7</v>
      </c>
      <c r="C19" s="17" t="s">
        <v>57</v>
      </c>
      <c r="D19" s="18">
        <v>980</v>
      </c>
      <c r="E19" s="17">
        <v>10</v>
      </c>
      <c r="F19" s="17" t="s">
        <v>9</v>
      </c>
      <c r="G19" s="14" t="str">
        <f>IF(Table1[[#This Row],[Price ($)]]&gt;=500,"High Price","Standard Price")</f>
        <v>High Price</v>
      </c>
      <c r="H19" s="14" t="str">
        <f>LEFT(Table1[[#This Row],[Product ID]],2)</f>
        <v>27</v>
      </c>
      <c r="I19" s="14" t="str">
        <f>RIGHT(Table1[[#This Row],[Product ID]],2)</f>
        <v>IT</v>
      </c>
      <c r="J19" s="14" t="str">
        <f>MID(Table1[[#This Row],[Product ID]],4,3)</f>
        <v>JAN</v>
      </c>
      <c r="L19" s="24"/>
      <c r="M19" s="19"/>
      <c r="N19" s="37"/>
      <c r="O19" s="27"/>
    </row>
    <row r="20" spans="1:15" ht="15.75" customHeight="1" x14ac:dyDescent="0.35">
      <c r="A20" s="13" t="s">
        <v>58</v>
      </c>
      <c r="B20" s="14" t="s">
        <v>59</v>
      </c>
      <c r="C20" s="14" t="s">
        <v>60</v>
      </c>
      <c r="D20" s="15">
        <v>150</v>
      </c>
      <c r="E20" s="14">
        <v>15</v>
      </c>
      <c r="F20" s="14" t="s">
        <v>13</v>
      </c>
      <c r="G20" s="14" t="str">
        <f>IF(Table1[[#This Row],[Price ($)]]&gt;=500,"High Price","Standard Price")</f>
        <v>Standard Price</v>
      </c>
      <c r="H20" s="14" t="str">
        <f>LEFT(Table1[[#This Row],[Product ID]],2)</f>
        <v>01</v>
      </c>
      <c r="I20" s="14" t="str">
        <f>RIGHT(Table1[[#This Row],[Product ID]],2)</f>
        <v>UK</v>
      </c>
      <c r="J20" s="14" t="str">
        <f>MID(Table1[[#This Row],[Product ID]],4,3)</f>
        <v>MAR</v>
      </c>
      <c r="L20" s="23">
        <v>4</v>
      </c>
      <c r="M20" s="22" t="s">
        <v>100</v>
      </c>
      <c r="N20" s="32">
        <f>SUMIF(Table1[Category],"Electronics",Table1[Price ($)])</f>
        <v>8050</v>
      </c>
      <c r="O20" s="25" t="s">
        <v>115</v>
      </c>
    </row>
    <row r="21" spans="1:15" ht="15.75" customHeight="1" x14ac:dyDescent="0.35">
      <c r="A21" s="16" t="s">
        <v>61</v>
      </c>
      <c r="B21" s="17" t="s">
        <v>62</v>
      </c>
      <c r="C21" s="17" t="s">
        <v>63</v>
      </c>
      <c r="D21" s="18">
        <v>200</v>
      </c>
      <c r="E21" s="17">
        <v>10</v>
      </c>
      <c r="F21" s="17" t="s">
        <v>24</v>
      </c>
      <c r="G21" s="14" t="str">
        <f>IF(Table1[[#This Row],[Price ($)]]&gt;=500,"High Price","Standard Price")</f>
        <v>Standard Price</v>
      </c>
      <c r="H21" s="14" t="str">
        <f>LEFT(Table1[[#This Row],[Product ID]],2)</f>
        <v>14</v>
      </c>
      <c r="I21" s="14" t="str">
        <f>RIGHT(Table1[[#This Row],[Product ID]],2)</f>
        <v>US</v>
      </c>
      <c r="J21" s="14" t="str">
        <f>MID(Table1[[#This Row],[Product ID]],4,3)</f>
        <v>AUG</v>
      </c>
      <c r="L21" s="23"/>
      <c r="M21" s="22" t="s">
        <v>101</v>
      </c>
      <c r="N21" s="35">
        <f>COUNTIF(Table1[Price ($)],"&lt;100")</f>
        <v>11</v>
      </c>
      <c r="O21" s="25" t="s">
        <v>116</v>
      </c>
    </row>
    <row r="22" spans="1:15" ht="15.75" customHeight="1" x14ac:dyDescent="0.25">
      <c r="A22" s="13" t="s">
        <v>64</v>
      </c>
      <c r="B22" s="14" t="s">
        <v>65</v>
      </c>
      <c r="C22" s="14" t="s">
        <v>66</v>
      </c>
      <c r="D22" s="15">
        <v>700</v>
      </c>
      <c r="E22" s="14">
        <v>50</v>
      </c>
      <c r="F22" s="14" t="s">
        <v>9</v>
      </c>
      <c r="G22" s="14" t="str">
        <f>IF(Table1[[#This Row],[Price ($)]]&gt;=500,"High Price","Standard Price")</f>
        <v>High Price</v>
      </c>
      <c r="H22" s="14" t="str">
        <f>LEFT(Table1[[#This Row],[Product ID]],2)</f>
        <v>14</v>
      </c>
      <c r="I22" s="14" t="str">
        <f>RIGHT(Table1[[#This Row],[Product ID]],2)</f>
        <v>RU</v>
      </c>
      <c r="J22" s="14" t="str">
        <f>MID(Table1[[#This Row],[Product ID]],4,3)</f>
        <v>MAY</v>
      </c>
      <c r="L22" s="24"/>
      <c r="M22" s="19"/>
      <c r="N22" s="37"/>
      <c r="O22" s="27"/>
    </row>
    <row r="23" spans="1:15" ht="15.75" customHeight="1" x14ac:dyDescent="0.35">
      <c r="A23" s="16" t="s">
        <v>67</v>
      </c>
      <c r="B23" s="17" t="s">
        <v>68</v>
      </c>
      <c r="C23" s="17" t="s">
        <v>69</v>
      </c>
      <c r="D23" s="18">
        <v>80</v>
      </c>
      <c r="E23" s="17">
        <v>20</v>
      </c>
      <c r="F23" s="17" t="s">
        <v>17</v>
      </c>
      <c r="G23" s="14" t="str">
        <f>IF(Table1[[#This Row],[Price ($)]]&gt;=500,"High Price","Standard Price")</f>
        <v>Standard Price</v>
      </c>
      <c r="H23" s="14" t="str">
        <f>LEFT(Table1[[#This Row],[Product ID]],2)</f>
        <v>09</v>
      </c>
      <c r="I23" s="14" t="str">
        <f>RIGHT(Table1[[#This Row],[Product ID]],2)</f>
        <v>CA</v>
      </c>
      <c r="J23" s="14" t="str">
        <f>MID(Table1[[#This Row],[Product ID]],4,3)</f>
        <v>JAN</v>
      </c>
      <c r="L23" s="23">
        <v>5</v>
      </c>
      <c r="M23" s="32" t="s">
        <v>108</v>
      </c>
      <c r="N23" s="32" t="s">
        <v>121</v>
      </c>
      <c r="O23" s="25" t="s">
        <v>118</v>
      </c>
    </row>
    <row r="24" spans="1:15" ht="15.75" customHeight="1" x14ac:dyDescent="0.35">
      <c r="A24" s="13" t="s">
        <v>70</v>
      </c>
      <c r="B24" s="14" t="s">
        <v>71</v>
      </c>
      <c r="C24" s="14" t="s">
        <v>72</v>
      </c>
      <c r="D24" s="15">
        <v>150</v>
      </c>
      <c r="E24" s="14">
        <v>30</v>
      </c>
      <c r="F24" s="14" t="s">
        <v>9</v>
      </c>
      <c r="G24" s="14" t="str">
        <f>IF(Table1[[#This Row],[Price ($)]]&gt;=500,"High Price","Standard Price")</f>
        <v>Standard Price</v>
      </c>
      <c r="H24" s="14" t="str">
        <f>LEFT(Table1[[#This Row],[Product ID]],2)</f>
        <v>19</v>
      </c>
      <c r="I24" s="14" t="str">
        <f>RIGHT(Table1[[#This Row],[Product ID]],2)</f>
        <v>BR</v>
      </c>
      <c r="J24" s="14" t="str">
        <f>MID(Table1[[#This Row],[Product ID]],4,3)</f>
        <v>JUL</v>
      </c>
      <c r="L24" s="24"/>
      <c r="M24" s="32"/>
      <c r="N24" s="32" t="s">
        <v>122</v>
      </c>
      <c r="O24" s="28" t="s">
        <v>119</v>
      </c>
    </row>
    <row r="25" spans="1:15" ht="15.75" customHeight="1" x14ac:dyDescent="0.35">
      <c r="A25" s="16" t="s">
        <v>50</v>
      </c>
      <c r="B25" s="17" t="s">
        <v>51</v>
      </c>
      <c r="C25" s="17" t="s">
        <v>52</v>
      </c>
      <c r="D25" s="18">
        <v>50</v>
      </c>
      <c r="E25" s="17">
        <v>35</v>
      </c>
      <c r="F25" s="17" t="s">
        <v>53</v>
      </c>
      <c r="G25" s="14" t="str">
        <f>IF(Table1[[#This Row],[Price ($)]]&gt;=500,"High Price","Standard Price")</f>
        <v>Standard Price</v>
      </c>
      <c r="H25" s="14" t="str">
        <f>LEFT(Table1[[#This Row],[Product ID]],2)</f>
        <v>21</v>
      </c>
      <c r="I25" s="14" t="str">
        <f>RIGHT(Table1[[#This Row],[Product ID]],2)</f>
        <v>CA</v>
      </c>
      <c r="J25" s="14" t="str">
        <f>MID(Table1[[#This Row],[Product ID]],4,3)</f>
        <v>AUG</v>
      </c>
      <c r="L25" s="21"/>
      <c r="M25" s="32"/>
      <c r="N25" s="32" t="s">
        <v>123</v>
      </c>
      <c r="O25" s="20" t="s">
        <v>120</v>
      </c>
    </row>
    <row r="26" spans="1:15" ht="15.75" customHeight="1" x14ac:dyDescent="0.25">
      <c r="A26" s="13" t="s">
        <v>73</v>
      </c>
      <c r="B26" s="14" t="s">
        <v>19</v>
      </c>
      <c r="C26" s="14" t="s">
        <v>74</v>
      </c>
      <c r="D26" s="15">
        <v>800</v>
      </c>
      <c r="E26" s="14">
        <v>45</v>
      </c>
      <c r="F26" s="14" t="s">
        <v>9</v>
      </c>
      <c r="G26" s="14" t="str">
        <f>IF(Table1[[#This Row],[Price ($)]]&gt;=500,"High Price","Standard Price")</f>
        <v>High Price</v>
      </c>
      <c r="H26" s="14" t="str">
        <f>LEFT(Table1[[#This Row],[Product ID]],2)</f>
        <v>29</v>
      </c>
      <c r="I26" s="14" t="str">
        <f>RIGHT(Table1[[#This Row],[Product ID]],2)</f>
        <v>CA</v>
      </c>
      <c r="J26" s="14" t="str">
        <f>MID(Table1[[#This Row],[Product ID]],4,3)</f>
        <v>SEP</v>
      </c>
      <c r="N26" s="7"/>
    </row>
    <row r="27" spans="1:15" ht="15.75" customHeight="1" x14ac:dyDescent="0.25">
      <c r="A27" s="16" t="s">
        <v>75</v>
      </c>
      <c r="B27" s="17" t="s">
        <v>59</v>
      </c>
      <c r="C27" s="17" t="s">
        <v>76</v>
      </c>
      <c r="D27" s="18">
        <v>130</v>
      </c>
      <c r="E27" s="17">
        <v>25</v>
      </c>
      <c r="F27" s="17" t="s">
        <v>13</v>
      </c>
      <c r="G27" s="14" t="str">
        <f>IF(Table1[[#This Row],[Price ($)]]&gt;=500,"High Price","Standard Price")</f>
        <v>Standard Price</v>
      </c>
      <c r="H27" s="14" t="str">
        <f>LEFT(Table1[[#This Row],[Product ID]],2)</f>
        <v>03</v>
      </c>
      <c r="I27" s="14" t="str">
        <f>RIGHT(Table1[[#This Row],[Product ID]],2)</f>
        <v>CA</v>
      </c>
      <c r="J27" s="14" t="str">
        <f>MID(Table1[[#This Row],[Product ID]],4,3)</f>
        <v>JUN</v>
      </c>
    </row>
    <row r="28" spans="1:15" ht="15.75" customHeight="1" x14ac:dyDescent="0.25">
      <c r="A28" s="13" t="s">
        <v>77</v>
      </c>
      <c r="B28" s="14" t="s">
        <v>32</v>
      </c>
      <c r="C28" s="14" t="s">
        <v>78</v>
      </c>
      <c r="D28" s="15">
        <v>400</v>
      </c>
      <c r="E28" s="14">
        <v>40</v>
      </c>
      <c r="F28" s="14" t="s">
        <v>17</v>
      </c>
      <c r="G28" s="14" t="str">
        <f>IF(Table1[[#This Row],[Price ($)]]&gt;=500,"High Price","Standard Price")</f>
        <v>Standard Price</v>
      </c>
      <c r="H28" s="14" t="str">
        <f>LEFT(Table1[[#This Row],[Product ID]],2)</f>
        <v>11</v>
      </c>
      <c r="I28" s="14" t="str">
        <f>RIGHT(Table1[[#This Row],[Product ID]],2)</f>
        <v>CA</v>
      </c>
      <c r="J28" s="14" t="str">
        <f>MID(Table1[[#This Row],[Product ID]],4,3)</f>
        <v>JUL</v>
      </c>
    </row>
    <row r="29" spans="1:15" ht="15.75" customHeight="1" x14ac:dyDescent="0.25">
      <c r="A29" s="16" t="s">
        <v>48</v>
      </c>
      <c r="B29" s="17" t="s">
        <v>26</v>
      </c>
      <c r="C29" s="17" t="s">
        <v>49</v>
      </c>
      <c r="D29" s="18">
        <v>230</v>
      </c>
      <c r="E29" s="17">
        <v>20</v>
      </c>
      <c r="F29" s="17" t="s">
        <v>9</v>
      </c>
      <c r="G29" s="14" t="str">
        <f>IF(Table1[[#This Row],[Price ($)]]&gt;=500,"High Price","Standard Price")</f>
        <v>Standard Price</v>
      </c>
      <c r="H29" s="14" t="str">
        <f>LEFT(Table1[[#This Row],[Product ID]],2)</f>
        <v>16</v>
      </c>
      <c r="I29" s="14" t="str">
        <f>RIGHT(Table1[[#This Row],[Product ID]],2)</f>
        <v>ES</v>
      </c>
      <c r="J29" s="14" t="str">
        <f>MID(Table1[[#This Row],[Product ID]],4,3)</f>
        <v>APR</v>
      </c>
    </row>
    <row r="30" spans="1:15" ht="15.75" customHeight="1" x14ac:dyDescent="0.25">
      <c r="A30" s="13" t="s">
        <v>79</v>
      </c>
      <c r="B30" s="14" t="s">
        <v>80</v>
      </c>
      <c r="C30" s="14" t="s">
        <v>81</v>
      </c>
      <c r="D30" s="15">
        <v>60</v>
      </c>
      <c r="E30" s="14">
        <v>30</v>
      </c>
      <c r="F30" s="14" t="s">
        <v>13</v>
      </c>
      <c r="G30" s="14" t="str">
        <f>IF(Table1[[#This Row],[Price ($)]]&gt;=500,"High Price","Standard Price")</f>
        <v>Standard Price</v>
      </c>
      <c r="H30" s="14" t="str">
        <f>LEFT(Table1[[#This Row],[Product ID]],2)</f>
        <v>07</v>
      </c>
      <c r="I30" s="14" t="str">
        <f>RIGHT(Table1[[#This Row],[Product ID]],2)</f>
        <v>CA</v>
      </c>
      <c r="J30" s="14" t="str">
        <f>MID(Table1[[#This Row],[Product ID]],4,3)</f>
        <v>MAR</v>
      </c>
    </row>
    <row r="31" spans="1:15" ht="15.75" customHeight="1" x14ac:dyDescent="0.25">
      <c r="A31" s="16" t="s">
        <v>82</v>
      </c>
      <c r="B31" s="17" t="s">
        <v>83</v>
      </c>
      <c r="C31" s="17" t="s">
        <v>84</v>
      </c>
      <c r="D31" s="18">
        <v>40</v>
      </c>
      <c r="E31" s="17">
        <v>10</v>
      </c>
      <c r="F31" s="17" t="s">
        <v>17</v>
      </c>
      <c r="G31" s="14" t="str">
        <f>IF(Table1[[#This Row],[Price ($)]]&gt;=500,"High Price","Standard Price")</f>
        <v>Standard Price</v>
      </c>
      <c r="H31" s="14" t="str">
        <f>LEFT(Table1[[#This Row],[Product ID]],2)</f>
        <v>13</v>
      </c>
      <c r="I31" s="14" t="str">
        <f>RIGHT(Table1[[#This Row],[Product ID]],2)</f>
        <v>CA</v>
      </c>
      <c r="J31" s="14" t="str">
        <f>MID(Table1[[#This Row],[Product ID]],4,3)</f>
        <v>APR</v>
      </c>
    </row>
    <row r="32" spans="1:15" ht="15.75" customHeight="1" x14ac:dyDescent="0.25">
      <c r="A32" s="13" t="s">
        <v>85</v>
      </c>
      <c r="B32" s="14" t="s">
        <v>71</v>
      </c>
      <c r="C32" s="14" t="s">
        <v>86</v>
      </c>
      <c r="D32" s="15">
        <v>130</v>
      </c>
      <c r="E32" s="14">
        <v>5</v>
      </c>
      <c r="F32" s="14" t="s">
        <v>9</v>
      </c>
      <c r="G32" s="14" t="str">
        <f>IF(Table1[[#This Row],[Price ($)]]&gt;=500,"High Price","Standard Price")</f>
        <v>Standard Price</v>
      </c>
      <c r="H32" s="14" t="str">
        <f>LEFT(Table1[[#This Row],[Product ID]],2)</f>
        <v>24</v>
      </c>
      <c r="I32" s="14" t="str">
        <f>RIGHT(Table1[[#This Row],[Product ID]],2)</f>
        <v>CA</v>
      </c>
      <c r="J32" s="14" t="str">
        <f>MID(Table1[[#This Row],[Product ID]],4,3)</f>
        <v>MAY</v>
      </c>
    </row>
    <row r="33" spans="1:10" ht="15.75" customHeight="1" x14ac:dyDescent="0.25">
      <c r="A33" s="16" t="s">
        <v>87</v>
      </c>
      <c r="B33" s="17" t="s">
        <v>88</v>
      </c>
      <c r="C33" s="17" t="s">
        <v>89</v>
      </c>
      <c r="D33" s="18">
        <v>50</v>
      </c>
      <c r="E33" s="17">
        <v>50</v>
      </c>
      <c r="F33" s="17" t="s">
        <v>13</v>
      </c>
      <c r="G33" s="14" t="str">
        <f>IF(Table1[[#This Row],[Price ($)]]&gt;=500,"High Price","Standard Price")</f>
        <v>Standard Price</v>
      </c>
      <c r="H33" s="14" t="str">
        <f>LEFT(Table1[[#This Row],[Product ID]],2)</f>
        <v>02</v>
      </c>
      <c r="I33" s="14" t="str">
        <f>RIGHT(Table1[[#This Row],[Product ID]],2)</f>
        <v>CA</v>
      </c>
      <c r="J33" s="14" t="str">
        <f>MID(Table1[[#This Row],[Product ID]],4,3)</f>
        <v>DEC</v>
      </c>
    </row>
    <row r="34" spans="1:10" ht="15.75" customHeight="1" x14ac:dyDescent="0.25">
      <c r="A34" s="13" t="s">
        <v>40</v>
      </c>
      <c r="B34" s="14" t="s">
        <v>7</v>
      </c>
      <c r="C34" s="14" t="s">
        <v>41</v>
      </c>
      <c r="D34" s="15">
        <v>950</v>
      </c>
      <c r="E34" s="14">
        <v>25</v>
      </c>
      <c r="F34" s="14" t="s">
        <v>9</v>
      </c>
      <c r="G34" s="14" t="str">
        <f>IF(Table1[[#This Row],[Price ($)]]&gt;=500,"High Price","Standard Price")</f>
        <v>High Price</v>
      </c>
      <c r="H34" s="14" t="str">
        <f>LEFT(Table1[[#This Row],[Product ID]],2)</f>
        <v>17</v>
      </c>
      <c r="I34" s="14" t="str">
        <f>RIGHT(Table1[[#This Row],[Product ID]],2)</f>
        <v>IN</v>
      </c>
      <c r="J34" s="14" t="str">
        <f>MID(Table1[[#This Row],[Product ID]],4,3)</f>
        <v>JUN</v>
      </c>
    </row>
    <row r="35" spans="1:10" ht="15.75" customHeight="1" x14ac:dyDescent="0.25">
      <c r="A35" s="16" t="s">
        <v>90</v>
      </c>
      <c r="B35" s="17" t="s">
        <v>91</v>
      </c>
      <c r="C35" s="17" t="s">
        <v>92</v>
      </c>
      <c r="D35" s="18">
        <v>100</v>
      </c>
      <c r="E35" s="17">
        <v>20</v>
      </c>
      <c r="F35" s="17" t="s">
        <v>53</v>
      </c>
      <c r="G35" s="14" t="str">
        <f>IF(Table1[[#This Row],[Price ($)]]&gt;=500,"High Price","Standard Price")</f>
        <v>Standard Price</v>
      </c>
      <c r="H35" s="14" t="str">
        <f>LEFT(Table1[[#This Row],[Product ID]],2)</f>
        <v>09</v>
      </c>
      <c r="I35" s="14" t="str">
        <f>RIGHT(Table1[[#This Row],[Product ID]],2)</f>
        <v>FR</v>
      </c>
      <c r="J35" s="14" t="str">
        <f>MID(Table1[[#This Row],[Product ID]],4,3)</f>
        <v>JUL</v>
      </c>
    </row>
    <row r="36" spans="1:10" ht="15.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L5:O7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Assignment Week1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RAMYA R</cp:lastModifiedBy>
  <dcterms:created xsi:type="dcterms:W3CDTF">2026-09-10T11:48:53Z</dcterms:created>
  <dcterms:modified xsi:type="dcterms:W3CDTF">2026-09-10T11:48:53Z</dcterms:modified>
</cp:coreProperties>
</file>