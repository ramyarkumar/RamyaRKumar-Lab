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8f2fe25f7fb8ae1/Desktop/DA/Excel Assignment 2/"/>
    </mc:Choice>
  </mc:AlternateContent>
  <xr:revisionPtr revIDLastSave="6" documentId="8_{A4616E8A-C39D-47F8-A9E5-E8D99BDEB872}" xr6:coauthVersionLast="47" xr6:coauthVersionMax="47" xr10:uidLastSave="{B1876853-D875-4F15-BC52-54F24F35DED9}"/>
  <bookViews>
    <workbookView xWindow="-110" yWindow="-110" windowWidth="19420" windowHeight="11500" activeTab="1" xr2:uid="{00000000-000D-0000-FFFF-FFFF00000000}"/>
  </bookViews>
  <sheets>
    <sheet name="Raw Dataset" sheetId="2" r:id="rId1"/>
    <sheet name="Cleaned Data" sheetId="4" r:id="rId2"/>
  </sheets>
  <definedNames>
    <definedName name="ExternalData_1" localSheetId="1" hidden="1">'Cleaned Data'!$A$1:$F$32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B6CFBB-3745-4546-BF4C-1A6497C120AB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<sst xmlns="http://schemas.openxmlformats.org/spreadsheetml/2006/main" count="237" uniqueCount="144">
  <si>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</si>
  <si>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</si>
  <si>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</si>
  <si>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</si>
  <si>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</si>
  <si>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</si>
  <si>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</si>
  <si>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</si>
  <si>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</si>
  <si>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</si>
  <si>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</si>
  <si>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</si>
  <si>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</si>
  <si>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</si>
  <si>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</si>
  <si>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</si>
  <si>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</si>
  <si>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</si>
  <si>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</si>
  <si>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</si>
  <si>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</si>
  <si>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</si>
  <si>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</si>
  <si>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</si>
  <si>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</si>
  <si>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</si>
  <si>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</si>
  <si>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</si>
  <si>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</si>
  <si>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</si>
  <si>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</si>
  <si>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</si>
  <si>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</si>
  <si>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</si>
  <si>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</si>
  <si>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</si>
  <si>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</si>
  <si>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</si>
  <si>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</si>
  <si>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</si>
  <si>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</si>
  <si>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</si>
  <si>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</si>
  <si>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</si>
  <si>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</si>
  <si>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</si>
  <si>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</si>
  <si>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</si>
  <si>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</si>
  <si>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</si>
  <si>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</si>
  <si>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</si>
  <si>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</si>
  <si>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</si>
  <si>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</si>
  <si>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</si>
  <si>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</si>
  <si>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</si>
  <si>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</si>
  <si>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</si>
  <si>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</si>
  <si>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</si>
  <si>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</si>
  <si>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</si>
  <si>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</si>
  <si>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</si>
  <si>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</si>
  <si>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</si>
  <si>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</si>
  <si>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</si>
  <si>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</si>
  <si>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</si>
  <si>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</si>
  <si>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</si>
  <si>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</si>
  <si>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</si>
  <si>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</si>
  <si>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</si>
  <si>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</si>
  <si>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</si>
  <si>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</si>
  <si>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</si>
  <si>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</si>
  <si>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</si>
  <si>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</si>
  <si>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</si>
  <si>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</si>
  <si>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</si>
  <si>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</si>
  <si>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</si>
  <si>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</si>
  <si>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</si>
  <si>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</si>
  <si>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</si>
  <si>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</si>
  <si>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</si>
  <si>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</si>
  <si>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Product Brand</t>
  </si>
  <si>
    <t>Product Category</t>
  </si>
  <si>
    <t>UK</t>
  </si>
  <si>
    <t>Oakley-Sunglasses</t>
  </si>
  <si>
    <t>CA</t>
  </si>
  <si>
    <t>Levi's-Jeans</t>
  </si>
  <si>
    <t>Ray-Ban-Sunglasses</t>
  </si>
  <si>
    <t>US</t>
  </si>
  <si>
    <t>Keurig-Coffee Maker</t>
  </si>
  <si>
    <t>Apple-Tablet</t>
  </si>
  <si>
    <t>Sony-Headphones</t>
  </si>
  <si>
    <t>Zara-Dress</t>
  </si>
  <si>
    <t>DE</t>
  </si>
  <si>
    <t>Nespresso-Coffee Maker</t>
  </si>
  <si>
    <t>Panasonic-Microwave</t>
  </si>
  <si>
    <t>FR</t>
  </si>
  <si>
    <t>Casio-Watch</t>
  </si>
  <si>
    <t>Samsung-Smartphone</t>
  </si>
  <si>
    <t>Vitamix-Blender</t>
  </si>
  <si>
    <t>Hamilton-Toaster</t>
  </si>
  <si>
    <t>Coleman-Camping Tent</t>
  </si>
  <si>
    <t>RU</t>
  </si>
  <si>
    <t>Nikon-Camera</t>
  </si>
  <si>
    <t>Timberland-Hiking Boots</t>
  </si>
  <si>
    <t>Nike-Sneakers</t>
  </si>
  <si>
    <t>ES</t>
  </si>
  <si>
    <t>Bose-Headphones</t>
  </si>
  <si>
    <t>IN</t>
  </si>
  <si>
    <t>HP-Laptop</t>
  </si>
  <si>
    <t>Fitbit-Smartwatch</t>
  </si>
  <si>
    <t>BR</t>
  </si>
  <si>
    <t>Xiaomi-Fitness Tracker</t>
  </si>
  <si>
    <t>Adidas-T-shirt</t>
  </si>
  <si>
    <t>CN</t>
  </si>
  <si>
    <t>Huawei-Smartwatch</t>
  </si>
  <si>
    <t>Samsonite-Laptop Bag</t>
  </si>
  <si>
    <t>North Face-Backpack</t>
  </si>
  <si>
    <t>Ninja-Blender</t>
  </si>
  <si>
    <t>Garmin-Fitness Tracker</t>
  </si>
  <si>
    <t>AU</t>
  </si>
  <si>
    <t>Adidas-Sneakers</t>
  </si>
  <si>
    <t>IT</t>
  </si>
  <si>
    <t>Asus-Laptop</t>
  </si>
  <si>
    <t>Dell-Laptop</t>
  </si>
  <si>
    <t>Google-Smartphone</t>
  </si>
  <si>
    <t>Product Code</t>
  </si>
  <si>
    <t>MFG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</si>
</sst>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3"/>
      <name val="Arial"/>
      <family val="2"/>
      <scheme val="minor"/>
    </font>
    <font>
      <sz val="10"/>
      <color rgb="FF000000"/>
      <name val="Arial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2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2" fontId="5" fillId="0" borderId="3" xfId="0" applyNumberFormat="1" applyFont="1" applyBorder="1"/>
    <xf numFmtId="0" fontId="5" fillId="0" borderId="4" xfId="0" applyFont="1" applyBorder="1"/>
    <xf numFmtId="14" fontId="0" fillId="0" borderId="5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0" fillId="0" borderId="6" xfId="0" applyBorder="1"/>
    <xf numFmtId="14" fontId="0" fillId="0" borderId="7" xfId="0" applyNumberFormat="1" applyBorder="1"/>
    <xf numFmtId="0" fontId="0" fillId="0" borderId="8" xfId="0" applyBorder="1" applyAlignment="1">
      <alignment horizontal="center"/>
    </xf>
    <xf numFmtId="0" fontId="0" fillId="0" borderId="8" xfId="0" applyBorder="1"/>
    <xf numFmtId="2" fontId="0" fillId="0" borderId="8" xfId="0" applyNumberFormat="1" applyBorder="1"/>
    <xf numFmtId="0" fontId="0" fillId="0" borderId="9" xfId="0" applyBorder="1"/>
    <xf numFmtId="0" fontId="6" fillId="0" borderId="1" xfId="0" applyFont="1" applyBorder="1"/>
  </cellXfs>
  <cellStyles count="1">
    <cellStyle name="Normal" xfId="0" builtinId="0"/>
  </cellStyles>
  <dxfs count="36">
    <dxf>
      <font>
        <color rgb="FF9C5700"/>
      </font>
      <fill>
        <patternFill>
          <bgColor rgb="FFFFEB9C"/>
        </patternFill>
      </fill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3"/>
        <name val="Arial"/>
        <charset val="134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5"/>
      <tableStyleElement type="headerRow" dxfId="34"/>
      <tableStyleElement type="totalRow" dxfId="33"/>
      <tableStyleElement type="firstColumn" dxfId="32"/>
      <tableStyleElement type="lastColumn" dxfId="31"/>
      <tableStyleElement type="firstRowStripe" dxfId="30"/>
      <tableStyleElement type="firstColumnStripe" dxfId="29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C7B60F-CD9F-498C-88AA-571BF78CCDF6}" autoFormatId="16" applyNumberFormats="0" applyBorderFormats="0" applyFontFormats="0" applyPatternFormats="0" applyAlignmentFormats="0" applyWidthHeightFormats="0">
  <queryTableRefresh nextId="8">
    <queryTableFields count="6">
      <queryTableField id="1" name="Product ID.1" tableColumnId="1"/>
      <queryTableField id="2" name="Product ID.2" tableColumnId="2"/>
      <queryTableField id="3" name="Product Brand" tableColumnId="3"/>
      <queryTableField id="4" name="Price ($)" tableColumnId="4"/>
      <queryTableField id="5" name="Quantity" tableColumnId="5"/>
      <queryTableField id="7" name="Product Category" tableColumnId="7"/>
    </queryTableFields>
    <queryTableDeletedFields count="1">
      <deletedField name="Category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1BAB4-4C9F-4870-B670-DFDDFDBAC3D4}" name="Table1" displayName="Table1" ref="A1:F35" totalsRowShown="0" headerRowDxfId="18" dataDxfId="17">
  <autoFilter ref="A1:F35" xr:uid="{D0A1BAB4-4C9F-4870-B670-DFDDFDBAC3D4}"/>
  <tableColumns count="6">
    <tableColumn id="1" xr3:uid="{0F1796D6-025A-4EDA-9810-F58098A168CA}" name="Product ID" dataDxfId="16"/>
    <tableColumn id="2" xr3:uid="{289B71A8-7684-4458-9F0A-3C86B56A0738}" name="Product Name" dataDxfId="15"/>
    <tableColumn id="3" xr3:uid="{67D9F4D1-BB26-436C-86C5-903B666F3AA8}" name="Brand Name" dataDxfId="14"/>
    <tableColumn id="4" xr3:uid="{45067A37-4BD5-45CF-AC44-2563CD5478A0}" name="Price ($)" dataDxfId="13"/>
    <tableColumn id="5" xr3:uid="{2E641E42-4BBC-403A-9E3F-0FE5935A26E6}" name="Quantity" dataDxfId="12"/>
    <tableColumn id="6" xr3:uid="{9FB0ACF4-C87B-46DC-9799-17A63682B0FC}" name="Category" dataDxfId="11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A7CB5F-7CC6-45D2-814E-3EAA803B28CA}" name="Table13_1" displayName="Table13_1" ref="A1:F32" tableType="queryTable" totalsRowShown="0" headerRowDxfId="10" headerRowBorderDxfId="9" tableBorderDxfId="8" totalsRowBorderDxfId="7">
  <autoFilter ref="A1:F32" xr:uid="{66A7CB5F-7CC6-45D2-814E-3EAA803B28CA}"/>
  <tableColumns count="6">
    <tableColumn id="1" xr3:uid="{12E6DC15-4B91-4833-B175-51C23D7F00CD}" uniqueName="1" name="MFG Date" queryTableFieldId="1" dataDxfId="6"/>
    <tableColumn id="2" xr3:uid="{529DAC91-27EE-4834-BB5B-1A283AEE4CC3}" uniqueName="2" name="Product Code" queryTableFieldId="2" dataDxfId="5"/>
    <tableColumn id="3" xr3:uid="{9DAB5AB3-2D05-4455-98B9-7D8C6F1216A2}" uniqueName="3" name="Product Brand" queryTableFieldId="3" dataDxfId="4"/>
    <tableColumn id="4" xr3:uid="{6B58E5AF-57CD-4513-AEE3-8E44A8E0599D}" uniqueName="4" name="Price ($)" queryTableFieldId="4" dataDxfId="3"/>
    <tableColumn id="5" xr3:uid="{D3928F70-1BFF-4FBF-ADDE-465066A26C71}" uniqueName="5" name="Quantity" queryTableFieldId="5" dataDxfId="2"/>
    <tableColumn id="7" xr3:uid="{E2670D1A-22A3-41D9-A5AB-AE46CB90119E}" uniqueName="7" name="Product Category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zoomScale="80" zoomScaleNormal="80" workbookViewId="0">
      <selection activeCell="J11" sqref="J11"/>
    </sheetView>
  </sheetViews>
  <sheetFormatPr defaultColWidth="12.6328125" defaultRowHeight="15" customHeight="1"/>
  <cols>
    <col min="1" max="1" width="12.6328125" customWidth="1"/>
    <col min="2" max="2" width="15.26953125" customWidth="1"/>
    <col min="3" max="3" width="13.6328125" customWidth="1"/>
    <col min="4" max="6" width="12.6328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  <c r="H14">
        <f>MEDIAN(D6:D35)</f>
        <v>130</v>
      </c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E9EA-02ED-4A91-AADC-EC1A1DAB4B3C}">
  <dimension ref="A1:F32"/>
  <sheetViews>
    <sheetView tabSelected="1" zoomScale="80" zoomScaleNormal="80" workbookViewId="0">
      <selection activeCell="I13" sqref="I13"/>
    </sheetView>
  </sheetViews>
  <sheetFormatPr defaultRowHeight="12.5"/>
  <cols>
    <col min="1" max="1" width="15.54296875" customWidth="1"/>
    <col min="2" max="2" width="19.54296875" style="8" customWidth="1"/>
    <col min="3" max="3" width="21.26953125" bestFit="1" customWidth="1"/>
    <col min="4" max="4" width="14.7265625" style="6" customWidth="1"/>
    <col min="5" max="5" width="10.453125" bestFit="1" customWidth="1"/>
    <col min="6" max="6" width="18.36328125" bestFit="1" customWidth="1"/>
  </cols>
  <sheetData>
    <row r="1" spans="1:6" s="7" customFormat="1">
      <c r="A1" s="9" t="s">
        <v>143</v>
      </c>
      <c r="B1" s="10" t="s">
        <v>142</v>
      </c>
      <c r="C1" s="11" t="s">
        <v>97</v>
      </c>
      <c r="D1" s="12" t="s">
        <v>3</v>
      </c>
      <c r="E1" s="11" t="s">
        <v>4</v>
      </c>
      <c r="F1" s="13" t="s">
        <v>98</v>
      </c>
    </row>
    <row r="2" spans="1:6">
      <c r="A2" s="14">
        <v>46082</v>
      </c>
      <c r="B2" s="15" t="s">
        <v>99</v>
      </c>
      <c r="C2" s="16" t="s">
        <v>100</v>
      </c>
      <c r="D2" s="17">
        <v>150</v>
      </c>
      <c r="E2" s="16">
        <v>15</v>
      </c>
      <c r="F2" s="18" t="s">
        <v>13</v>
      </c>
    </row>
    <row r="3" spans="1:6">
      <c r="A3" s="14">
        <v>46358</v>
      </c>
      <c r="B3" s="15" t="s">
        <v>101</v>
      </c>
      <c r="C3" s="16" t="s">
        <v>102</v>
      </c>
      <c r="D3" s="17">
        <v>50</v>
      </c>
      <c r="E3" s="16">
        <v>50</v>
      </c>
      <c r="F3" s="18" t="s">
        <v>13</v>
      </c>
    </row>
    <row r="4" spans="1:6">
      <c r="A4" s="14">
        <v>46176</v>
      </c>
      <c r="B4" s="15" t="s">
        <v>101</v>
      </c>
      <c r="C4" s="16" t="s">
        <v>103</v>
      </c>
      <c r="D4" s="17">
        <v>130</v>
      </c>
      <c r="E4" s="16">
        <v>25</v>
      </c>
      <c r="F4" s="18" t="s">
        <v>13</v>
      </c>
    </row>
    <row r="5" spans="1:6">
      <c r="A5" s="14">
        <v>46084</v>
      </c>
      <c r="B5" s="15" t="s">
        <v>104</v>
      </c>
      <c r="C5" s="16" t="s">
        <v>105</v>
      </c>
      <c r="D5" s="17">
        <v>130</v>
      </c>
      <c r="E5" s="16">
        <v>40</v>
      </c>
      <c r="F5" s="18" t="s">
        <v>17</v>
      </c>
    </row>
    <row r="6" spans="1:6">
      <c r="A6" s="14">
        <v>46270</v>
      </c>
      <c r="B6" s="15" t="s">
        <v>99</v>
      </c>
      <c r="C6" s="16" t="s">
        <v>106</v>
      </c>
      <c r="D6" s="17">
        <v>500</v>
      </c>
      <c r="E6" s="16">
        <v>50</v>
      </c>
      <c r="F6" s="18" t="s">
        <v>9</v>
      </c>
    </row>
    <row r="7" spans="1:6">
      <c r="A7" s="14">
        <v>46180</v>
      </c>
      <c r="B7" s="15" t="s">
        <v>99</v>
      </c>
      <c r="C7" s="16" t="s">
        <v>107</v>
      </c>
      <c r="D7" s="17">
        <v>130</v>
      </c>
      <c r="E7" s="16">
        <v>45</v>
      </c>
      <c r="F7" s="18" t="s">
        <v>9</v>
      </c>
    </row>
    <row r="8" spans="1:6">
      <c r="A8" s="14">
        <v>46088</v>
      </c>
      <c r="B8" s="15" t="s">
        <v>101</v>
      </c>
      <c r="C8" s="16" t="s">
        <v>108</v>
      </c>
      <c r="D8" s="17">
        <v>60</v>
      </c>
      <c r="E8" s="16">
        <v>30</v>
      </c>
      <c r="F8" s="18" t="s">
        <v>13</v>
      </c>
    </row>
    <row r="9" spans="1:6">
      <c r="A9" s="14">
        <v>46364</v>
      </c>
      <c r="B9" s="15" t="s">
        <v>109</v>
      </c>
      <c r="C9" s="16" t="s">
        <v>110</v>
      </c>
      <c r="D9" s="17">
        <v>120</v>
      </c>
      <c r="E9" s="16">
        <v>35</v>
      </c>
      <c r="F9" s="18" t="s">
        <v>17</v>
      </c>
    </row>
    <row r="10" spans="1:6">
      <c r="A10" s="14">
        <v>46031</v>
      </c>
      <c r="B10" s="15" t="s">
        <v>101</v>
      </c>
      <c r="C10" s="16" t="s">
        <v>111</v>
      </c>
      <c r="D10" s="17">
        <v>80</v>
      </c>
      <c r="E10" s="16">
        <v>20</v>
      </c>
      <c r="F10" s="18" t="s">
        <v>17</v>
      </c>
    </row>
    <row r="11" spans="1:6">
      <c r="A11" s="14">
        <v>46212</v>
      </c>
      <c r="B11" s="15" t="s">
        <v>112</v>
      </c>
      <c r="C11" s="16" t="s">
        <v>113</v>
      </c>
      <c r="D11" s="17">
        <v>100</v>
      </c>
      <c r="E11" s="16">
        <v>20</v>
      </c>
      <c r="F11" s="18" t="s">
        <v>56</v>
      </c>
    </row>
    <row r="12" spans="1:6">
      <c r="A12" s="14">
        <v>46123</v>
      </c>
      <c r="B12" s="15" t="s">
        <v>104</v>
      </c>
      <c r="C12" s="16" t="s">
        <v>114</v>
      </c>
      <c r="D12" s="17">
        <v>900</v>
      </c>
      <c r="E12" s="16">
        <v>25</v>
      </c>
      <c r="F12" s="18" t="s">
        <v>9</v>
      </c>
    </row>
    <row r="13" spans="1:6">
      <c r="A13" s="14">
        <v>46214</v>
      </c>
      <c r="B13" s="15" t="s">
        <v>101</v>
      </c>
      <c r="C13" s="16" t="s">
        <v>115</v>
      </c>
      <c r="D13" s="17">
        <v>400</v>
      </c>
      <c r="E13" s="16">
        <v>40</v>
      </c>
      <c r="F13" s="18" t="s">
        <v>17</v>
      </c>
    </row>
    <row r="14" spans="1:6">
      <c r="A14" s="14">
        <v>46125</v>
      </c>
      <c r="B14" s="15" t="s">
        <v>101</v>
      </c>
      <c r="C14" s="16" t="s">
        <v>116</v>
      </c>
      <c r="D14" s="17">
        <v>40</v>
      </c>
      <c r="E14" s="16">
        <v>10</v>
      </c>
      <c r="F14" s="18" t="s">
        <v>17</v>
      </c>
    </row>
    <row r="15" spans="1:6">
      <c r="A15" s="14">
        <v>46248</v>
      </c>
      <c r="B15" s="15" t="s">
        <v>104</v>
      </c>
      <c r="C15" s="16" t="s">
        <v>117</v>
      </c>
      <c r="D15" s="17">
        <v>130</v>
      </c>
      <c r="E15" s="16">
        <v>10</v>
      </c>
      <c r="F15" s="18" t="s">
        <v>40</v>
      </c>
    </row>
    <row r="16" spans="1:6">
      <c r="A16" s="14">
        <v>46156</v>
      </c>
      <c r="B16" s="15" t="s">
        <v>118</v>
      </c>
      <c r="C16" s="16" t="s">
        <v>119</v>
      </c>
      <c r="D16" s="17">
        <v>700</v>
      </c>
      <c r="E16" s="16">
        <v>50</v>
      </c>
      <c r="F16" s="18" t="s">
        <v>9</v>
      </c>
    </row>
    <row r="17" spans="1:6">
      <c r="A17" s="14">
        <v>46309</v>
      </c>
      <c r="B17" s="15" t="s">
        <v>99</v>
      </c>
      <c r="C17" s="16" t="s">
        <v>120</v>
      </c>
      <c r="D17" s="17">
        <v>130</v>
      </c>
      <c r="E17" s="16">
        <v>10</v>
      </c>
      <c r="F17" s="18" t="s">
        <v>40</v>
      </c>
    </row>
    <row r="18" spans="1:6">
      <c r="A18" s="14">
        <v>46068</v>
      </c>
      <c r="B18" s="15" t="s">
        <v>104</v>
      </c>
      <c r="C18" s="16" t="s">
        <v>121</v>
      </c>
      <c r="D18" s="17">
        <v>80</v>
      </c>
      <c r="E18" s="16">
        <v>15</v>
      </c>
      <c r="F18" s="18" t="s">
        <v>56</v>
      </c>
    </row>
    <row r="19" spans="1:6">
      <c r="A19" s="14">
        <v>46128</v>
      </c>
      <c r="B19" s="15" t="s">
        <v>122</v>
      </c>
      <c r="C19" s="16" t="s">
        <v>123</v>
      </c>
      <c r="D19" s="17">
        <v>250</v>
      </c>
      <c r="E19" s="16">
        <v>20</v>
      </c>
      <c r="F19" s="18" t="s">
        <v>9</v>
      </c>
    </row>
    <row r="20" spans="1:6">
      <c r="A20" s="14">
        <v>46190</v>
      </c>
      <c r="B20" s="15" t="s">
        <v>124</v>
      </c>
      <c r="C20" s="16" t="s">
        <v>125</v>
      </c>
      <c r="D20" s="17">
        <v>950</v>
      </c>
      <c r="E20" s="16">
        <v>25</v>
      </c>
      <c r="F20" s="18" t="s">
        <v>9</v>
      </c>
    </row>
    <row r="21" spans="1:6">
      <c r="A21" s="14">
        <v>46071</v>
      </c>
      <c r="B21" s="15" t="s">
        <v>101</v>
      </c>
      <c r="C21" s="16" t="s">
        <v>126</v>
      </c>
      <c r="D21" s="17">
        <v>150</v>
      </c>
      <c r="E21" s="16">
        <v>15</v>
      </c>
      <c r="F21" s="18" t="s">
        <v>9</v>
      </c>
    </row>
    <row r="22" spans="1:6">
      <c r="A22" s="14">
        <v>46222</v>
      </c>
      <c r="B22" s="15" t="s">
        <v>127</v>
      </c>
      <c r="C22" s="16" t="s">
        <v>128</v>
      </c>
      <c r="D22" s="17">
        <v>150</v>
      </c>
      <c r="E22" s="16">
        <v>30</v>
      </c>
      <c r="F22" s="18" t="s">
        <v>9</v>
      </c>
    </row>
    <row r="23" spans="1:6">
      <c r="A23" s="14">
        <v>46222</v>
      </c>
      <c r="B23" s="15" t="s">
        <v>99</v>
      </c>
      <c r="C23" s="16" t="s">
        <v>129</v>
      </c>
      <c r="D23" s="17">
        <v>30</v>
      </c>
      <c r="E23" s="16">
        <v>5</v>
      </c>
      <c r="F23" s="18" t="s">
        <v>13</v>
      </c>
    </row>
    <row r="24" spans="1:6">
      <c r="A24" s="14">
        <v>46254</v>
      </c>
      <c r="B24" s="15" t="s">
        <v>130</v>
      </c>
      <c r="C24" s="16" t="s">
        <v>131</v>
      </c>
      <c r="D24" s="17">
        <v>160</v>
      </c>
      <c r="E24" s="16">
        <v>15</v>
      </c>
      <c r="F24" s="18" t="s">
        <v>9</v>
      </c>
    </row>
    <row r="25" spans="1:6">
      <c r="A25" s="14">
        <v>46255</v>
      </c>
      <c r="B25" s="15" t="s">
        <v>101</v>
      </c>
      <c r="C25" s="16" t="s">
        <v>132</v>
      </c>
      <c r="D25" s="17">
        <v>50</v>
      </c>
      <c r="E25" s="16">
        <v>35</v>
      </c>
      <c r="F25" s="18" t="s">
        <v>56</v>
      </c>
    </row>
    <row r="26" spans="1:6">
      <c r="A26" s="14">
        <v>46164</v>
      </c>
      <c r="B26" s="15" t="s">
        <v>104</v>
      </c>
      <c r="C26" s="16" t="s">
        <v>133</v>
      </c>
      <c r="D26" s="17">
        <v>70</v>
      </c>
      <c r="E26" s="16">
        <v>20</v>
      </c>
      <c r="F26" s="18" t="s">
        <v>56</v>
      </c>
    </row>
    <row r="27" spans="1:6">
      <c r="A27" s="14">
        <v>46257</v>
      </c>
      <c r="B27" s="15" t="s">
        <v>99</v>
      </c>
      <c r="C27" s="16" t="s">
        <v>134</v>
      </c>
      <c r="D27" s="17">
        <v>90</v>
      </c>
      <c r="E27" s="16">
        <v>35</v>
      </c>
      <c r="F27" s="18" t="s">
        <v>17</v>
      </c>
    </row>
    <row r="28" spans="1:6">
      <c r="A28" s="14">
        <v>46166</v>
      </c>
      <c r="B28" s="15" t="s">
        <v>101</v>
      </c>
      <c r="C28" s="24" t="s">
        <v>135</v>
      </c>
      <c r="D28" s="17">
        <v>130</v>
      </c>
      <c r="E28" s="16">
        <v>5</v>
      </c>
      <c r="F28" s="18" t="s">
        <v>9</v>
      </c>
    </row>
    <row r="29" spans="1:6">
      <c r="A29" s="14">
        <v>46351</v>
      </c>
      <c r="B29" s="15" t="s">
        <v>136</v>
      </c>
      <c r="C29" s="16" t="s">
        <v>137</v>
      </c>
      <c r="D29" s="17">
        <v>90</v>
      </c>
      <c r="E29" s="16">
        <v>40</v>
      </c>
      <c r="F29" s="18" t="s">
        <v>56</v>
      </c>
    </row>
    <row r="30" spans="1:6">
      <c r="A30" s="14">
        <v>46049</v>
      </c>
      <c r="B30" s="15" t="s">
        <v>138</v>
      </c>
      <c r="C30" s="16" t="s">
        <v>139</v>
      </c>
      <c r="D30" s="17">
        <v>980</v>
      </c>
      <c r="E30" s="16">
        <v>10</v>
      </c>
      <c r="F30" s="18" t="s">
        <v>9</v>
      </c>
    </row>
    <row r="31" spans="1:6">
      <c r="A31" s="14">
        <v>46050</v>
      </c>
      <c r="B31" s="15" t="s">
        <v>104</v>
      </c>
      <c r="C31" s="16" t="s">
        <v>140</v>
      </c>
      <c r="D31" s="17">
        <v>1000</v>
      </c>
      <c r="E31" s="16">
        <v>30</v>
      </c>
      <c r="F31" s="18" t="s">
        <v>9</v>
      </c>
    </row>
    <row r="32" spans="1:6">
      <c r="A32" s="19">
        <v>46294</v>
      </c>
      <c r="B32" s="20" t="s">
        <v>101</v>
      </c>
      <c r="C32" s="21" t="s">
        <v>141</v>
      </c>
      <c r="D32" s="22">
        <v>800</v>
      </c>
      <c r="E32" s="21">
        <v>45</v>
      </c>
      <c r="F32" s="23" t="s">
        <v>9</v>
      </c>
    </row>
  </sheetData>
  <conditionalFormatting sqref="D1:D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{953E0FB6-862A-4CE0-B85C-851DB7A7E188}</x14:id>
        </ext>
      </extLst>
    </cfRule>
  </conditionalFormatting>
  <conditionalFormatting sqref="F1:F1048576">
    <cfRule type="containsText" dxfId="0" priority="1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3E0FB6-862A-4CE0-B85C-851DB7A7E1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542FCC-1C95-4C87-8072-8F5E84F258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 R</cp:lastModifiedBy>
  <dcterms:created xsi:type="dcterms:W3CDTF">2026-07-23T14:43:37Z</dcterms:created>
  <dcterms:modified xsi:type="dcterms:W3CDTF">2026-09-21T04:50:40Z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